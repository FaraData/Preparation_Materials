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ram\Desktop\YT\SQL\V1_11012026\DataBank\"/>
    </mc:Choice>
  </mc:AlternateContent>
  <xr:revisionPtr revIDLastSave="0" documentId="13_ncr:1_{8A808F05-310E-4EB5-9206-C7E237293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Addresses" sheetId="2" r:id="rId2"/>
    <sheet name="Products" sheetId="3" r:id="rId3"/>
    <sheet name="Category" sheetId="4" r:id="rId4"/>
    <sheet name="Product_Specifications" sheetId="5" r:id="rId5"/>
    <sheet name="Warehouses" sheetId="6" r:id="rId6"/>
    <sheet name="Inventory" sheetId="7" r:id="rId7"/>
    <sheet name="orderHeader" sheetId="8" r:id="rId8"/>
    <sheet name="OrderDetail" sheetId="9" r:id="rId9"/>
    <sheet name="Payments" sheetId="10" r:id="rId10"/>
    <sheet name="Invoices" sheetId="11" r:id="rId11"/>
    <sheet name="Deliver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2" i="1"/>
  <c r="C14" i="2"/>
  <c r="C15" i="2"/>
  <c r="C16" i="2"/>
  <c r="C17" i="2"/>
  <c r="C18" i="2"/>
  <c r="C13" i="2"/>
  <c r="C14" i="3"/>
  <c r="C15" i="3"/>
  <c r="C16" i="3"/>
  <c r="C17" i="3"/>
  <c r="C18" i="3"/>
  <c r="C19" i="3"/>
  <c r="C20" i="3"/>
  <c r="C13" i="3"/>
  <c r="C11" i="5"/>
  <c r="C12" i="5"/>
  <c r="C13" i="5"/>
  <c r="C10" i="5"/>
  <c r="C10" i="4"/>
  <c r="C11" i="4"/>
  <c r="C9" i="4"/>
  <c r="C12" i="11"/>
  <c r="C13" i="11"/>
  <c r="C14" i="11"/>
  <c r="C15" i="11"/>
  <c r="C11" i="11"/>
  <c r="C12" i="10"/>
  <c r="C13" i="10"/>
  <c r="C14" i="10"/>
  <c r="C15" i="10"/>
  <c r="C16" i="10"/>
  <c r="C11" i="10"/>
  <c r="C12" i="9"/>
  <c r="C13" i="9"/>
  <c r="C14" i="9"/>
  <c r="C15" i="9"/>
  <c r="C11" i="9"/>
  <c r="C11" i="8"/>
  <c r="C12" i="8"/>
  <c r="C13" i="8"/>
  <c r="C14" i="8"/>
  <c r="C15" i="8"/>
  <c r="C12" i="7"/>
  <c r="C13" i="7"/>
  <c r="C14" i="7"/>
  <c r="C15" i="7"/>
  <c r="C11" i="7"/>
  <c r="C13" i="6"/>
  <c r="C12" i="6"/>
  <c r="C11" i="6"/>
  <c r="C10" i="6"/>
</calcChain>
</file>

<file path=xl/sharedStrings.xml><?xml version="1.0" encoding="utf-8"?>
<sst xmlns="http://schemas.openxmlformats.org/spreadsheetml/2006/main" count="287" uniqueCount="150">
  <si>
    <t>Field</t>
  </si>
  <si>
    <t>Description</t>
  </si>
  <si>
    <t>customer_id (PK)</t>
  </si>
  <si>
    <t>Unique customer identifier</t>
  </si>
  <si>
    <t>first_name</t>
  </si>
  <si>
    <t>Customer first name</t>
  </si>
  <si>
    <t>last_name</t>
  </si>
  <si>
    <t>Customer last name</t>
  </si>
  <si>
    <t>email</t>
  </si>
  <si>
    <t>Email address</t>
  </si>
  <si>
    <t>phone</t>
  </si>
  <si>
    <t>Phone number</t>
  </si>
  <si>
    <t>created_at</t>
  </si>
  <si>
    <t>Account creation date</t>
  </si>
  <si>
    <t>status</t>
  </si>
  <si>
    <t>Active / Inactive</t>
  </si>
  <si>
    <t>address_id (PK)</t>
  </si>
  <si>
    <t>Unique address</t>
  </si>
  <si>
    <t>customer_id (FK)</t>
  </si>
  <si>
    <t>Linked customer</t>
  </si>
  <si>
    <t>street</t>
  </si>
  <si>
    <t>Street address</t>
  </si>
  <si>
    <t>city</t>
  </si>
  <si>
    <t>City</t>
  </si>
  <si>
    <t>postal_code</t>
  </si>
  <si>
    <t>ZIP / Postal code</t>
  </si>
  <si>
    <t>country</t>
  </si>
  <si>
    <t>Country</t>
  </si>
  <si>
    <t>address_type</t>
  </si>
  <si>
    <t>Billing / Shipping</t>
  </si>
  <si>
    <t>product_id (PK)</t>
  </si>
  <si>
    <t>Unique product</t>
  </si>
  <si>
    <t>product_name</t>
  </si>
  <si>
    <t>Product name</t>
  </si>
  <si>
    <t>category_id (FK)</t>
  </si>
  <si>
    <t>Product category</t>
  </si>
  <si>
    <t>brand</t>
  </si>
  <si>
    <t>Manufacturer</t>
  </si>
  <si>
    <t>base_price</t>
  </si>
  <si>
    <t>Standard price</t>
  </si>
  <si>
    <t>description</t>
  </si>
  <si>
    <t>Product description</t>
  </si>
  <si>
    <t>Date added</t>
  </si>
  <si>
    <t>is_active</t>
  </si>
  <si>
    <t>Available for sale</t>
  </si>
  <si>
    <t>category_id (PK)</t>
  </si>
  <si>
    <t>Category ID</t>
  </si>
  <si>
    <t>category_name</t>
  </si>
  <si>
    <t>Laptop, Phone, Tablet, Accessory</t>
  </si>
  <si>
    <t>parent_category_id</t>
  </si>
  <si>
    <t>For sub-categories (optional)</t>
  </si>
  <si>
    <t>spec_id (PK)</t>
  </si>
  <si>
    <t>Specification ID</t>
  </si>
  <si>
    <t>product_id (FK)</t>
  </si>
  <si>
    <t>Product</t>
  </si>
  <si>
    <t>spec_name</t>
  </si>
  <si>
    <t>RAM, Storage, CPU, Screen Size</t>
  </si>
  <si>
    <t>spec_value</t>
  </si>
  <si>
    <t>16GB, 512GB SSD, etc.</t>
  </si>
  <si>
    <t>warehouse_id (PK)</t>
  </si>
  <si>
    <t>Warehouse</t>
  </si>
  <si>
    <t>warehouse_name</t>
  </si>
  <si>
    <t>Name</t>
  </si>
  <si>
    <t>location</t>
  </si>
  <si>
    <t>City / Country</t>
  </si>
  <si>
    <t>inventory_id (PK)</t>
  </si>
  <si>
    <t>Inventory record</t>
  </si>
  <si>
    <t>warehouse_id (FK)</t>
  </si>
  <si>
    <t>quantity</t>
  </si>
  <si>
    <t>Units in stock</t>
  </si>
  <si>
    <t>last_updated</t>
  </si>
  <si>
    <t>Timestamp</t>
  </si>
  <si>
    <t>order_id (PK)</t>
  </si>
  <si>
    <t>Order</t>
  </si>
  <si>
    <t>Customer</t>
  </si>
  <si>
    <t>order_date</t>
  </si>
  <si>
    <t>Date of order</t>
  </si>
  <si>
    <t>Pending, Shipped, Delivered</t>
  </si>
  <si>
    <t>total_amount</t>
  </si>
  <si>
    <t>Order total</t>
  </si>
  <si>
    <t>order_item_id (PK)</t>
  </si>
  <si>
    <t>Line item</t>
  </si>
  <si>
    <t>order_id (FK)</t>
  </si>
  <si>
    <t>Quantity ordered</t>
  </si>
  <si>
    <t>unit_price</t>
  </si>
  <si>
    <t>Price per unit</t>
  </si>
  <si>
    <t>payment_id (PK)</t>
  </si>
  <si>
    <t>Payment</t>
  </si>
  <si>
    <t>payment_date</t>
  </si>
  <si>
    <t>Date</t>
  </si>
  <si>
    <t>payment_method</t>
  </si>
  <si>
    <t>Credit Card, PayPal</t>
  </si>
  <si>
    <t>payment_status</t>
  </si>
  <si>
    <t>Paid, Failed</t>
  </si>
  <si>
    <t>amount</t>
  </si>
  <si>
    <t>Paid amount</t>
  </si>
  <si>
    <t>invoice_id (PK)</t>
  </si>
  <si>
    <t>Invoice</t>
  </si>
  <si>
    <t>invoice_date</t>
  </si>
  <si>
    <t>due_date</t>
  </si>
  <si>
    <t>Payment deadline</t>
  </si>
  <si>
    <t>Invoice total</t>
  </si>
  <si>
    <t>Shipment</t>
  </si>
  <si>
    <t>carrier</t>
  </si>
  <si>
    <t>DHL, UPS</t>
  </si>
  <si>
    <t>tracking_number</t>
  </si>
  <si>
    <t>Tracking ID</t>
  </si>
  <si>
    <t>shipped_date</t>
  </si>
  <si>
    <t>Date shipped</t>
  </si>
  <si>
    <t>delivery_date</t>
  </si>
  <si>
    <t>Date delivered</t>
  </si>
  <si>
    <t>Delivery_id (PK)</t>
  </si>
  <si>
    <t>customerID</t>
  </si>
  <si>
    <t>addressID</t>
  </si>
  <si>
    <t>productID</t>
  </si>
  <si>
    <t>categoryID</t>
  </si>
  <si>
    <t>is_available</t>
  </si>
  <si>
    <t>specID</t>
  </si>
  <si>
    <t>warehouseID</t>
  </si>
  <si>
    <t>inventoryID</t>
  </si>
  <si>
    <t>orderID</t>
  </si>
  <si>
    <t>orderItemID</t>
  </si>
  <si>
    <t>paymentID</t>
  </si>
  <si>
    <t>invoiceID</t>
  </si>
  <si>
    <t>deliveryID</t>
  </si>
  <si>
    <t>int</t>
  </si>
  <si>
    <t>nvarchar(50)</t>
  </si>
  <si>
    <t>CREATE TABLE Warehouses(</t>
  </si>
  <si>
    <t>date</t>
  </si>
  <si>
    <t>Create Table inventory.Inventory</t>
  </si>
  <si>
    <t>varchar(10)</t>
  </si>
  <si>
    <t>float</t>
  </si>
  <si>
    <t>create Table sales.orderHeader</t>
  </si>
  <si>
    <t>Create Table sales.orderDetail</t>
  </si>
  <si>
    <t>varchar(50)</t>
  </si>
  <si>
    <t>varchar(30)</t>
  </si>
  <si>
    <t>Create Table sales.payments</t>
  </si>
  <si>
    <t>Create Table sales.Invoice</t>
  </si>
  <si>
    <t>nvarchar(100)</t>
  </si>
  <si>
    <t>Create Table core.Category</t>
  </si>
  <si>
    <t>nvarchar(500)</t>
  </si>
  <si>
    <t xml:space="preserve">Create Table </t>
  </si>
  <si>
    <t>varchar(100)</t>
  </si>
  <si>
    <t>YES</t>
  </si>
  <si>
    <t>NO</t>
  </si>
  <si>
    <t>Create Table core.Product</t>
  </si>
  <si>
    <t>nvarchar(30)</t>
  </si>
  <si>
    <t>Create Table core.Address</t>
  </si>
  <si>
    <t>Create Table core.Customer</t>
  </si>
  <si>
    <t>nvarvchar(50)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</si>
</sst>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22" sqref="B22"/>
    </sheetView>
  </sheetViews>
  <sheetFormatPr defaultRowHeight="14.4" x14ac:dyDescent="0.3"/>
  <cols>
    <col min="1" max="1" width="18.88671875" customWidth="1"/>
    <col min="2" max="2" width="34.21875" customWidth="1"/>
    <col min="3" max="3" width="24.21875" customWidth="1"/>
  </cols>
  <sheetData>
    <row r="1" spans="1:3" x14ac:dyDescent="0.3">
      <c r="A1" s="3" t="s">
        <v>0</v>
      </c>
      <c r="B1" s="1" t="s">
        <v>1</v>
      </c>
    </row>
    <row r="2" spans="1:3" x14ac:dyDescent="0.3">
      <c r="A2" t="s">
        <v>2</v>
      </c>
      <c r="B2" s="2" t="s">
        <v>3</v>
      </c>
    </row>
    <row r="3" spans="1:3" x14ac:dyDescent="0.3">
      <c r="A3" t="s">
        <v>4</v>
      </c>
      <c r="B3" s="2" t="s">
        <v>5</v>
      </c>
    </row>
    <row r="4" spans="1:3" x14ac:dyDescent="0.3">
      <c r="A4" t="s">
        <v>6</v>
      </c>
      <c r="B4" s="2" t="s">
        <v>7</v>
      </c>
    </row>
    <row r="5" spans="1:3" x14ac:dyDescent="0.3">
      <c r="A5" t="s">
        <v>8</v>
      </c>
      <c r="B5" s="2" t="s">
        <v>9</v>
      </c>
    </row>
    <row r="6" spans="1:3" x14ac:dyDescent="0.3">
      <c r="A6" t="s">
        <v>10</v>
      </c>
      <c r="B6" s="2" t="s">
        <v>11</v>
      </c>
    </row>
    <row r="7" spans="1:3" x14ac:dyDescent="0.3">
      <c r="A7" t="s">
        <v>12</v>
      </c>
      <c r="B7" s="2" t="s">
        <v>13</v>
      </c>
    </row>
    <row r="8" spans="1:3" x14ac:dyDescent="0.3">
      <c r="A8" t="s">
        <v>14</v>
      </c>
      <c r="B8" s="2" t="s">
        <v>15</v>
      </c>
    </row>
    <row r="11" spans="1:3" x14ac:dyDescent="0.3">
      <c r="C11" t="s">
        <v>148</v>
      </c>
    </row>
    <row r="12" spans="1:3" x14ac:dyDescent="0.3">
      <c r="A12" t="s">
        <v>112</v>
      </c>
      <c r="B12" t="s">
        <v>125</v>
      </c>
      <c r="C12" t="str">
        <f>A12&amp;" "&amp;B12&amp;","</f>
        <v>customerID int,</v>
      </c>
    </row>
    <row r="13" spans="1:3" x14ac:dyDescent="0.3">
      <c r="A13" t="s">
        <v>4</v>
      </c>
      <c r="B13" t="s">
        <v>149</v>
      </c>
      <c r="C13" t="str">
        <f t="shared" ref="C13:C18" si="0">A13&amp;" "&amp;B13&amp;","</f>
        <v>first_name nvarvchar(50),</v>
      </c>
    </row>
    <row r="14" spans="1:3" x14ac:dyDescent="0.3">
      <c r="A14" t="s">
        <v>6</v>
      </c>
      <c r="B14" t="s">
        <v>149</v>
      </c>
      <c r="C14" t="str">
        <f t="shared" si="0"/>
        <v>last_name nvarvchar(50),</v>
      </c>
    </row>
    <row r="15" spans="1:3" x14ac:dyDescent="0.3">
      <c r="A15" t="s">
        <v>8</v>
      </c>
      <c r="B15" t="s">
        <v>138</v>
      </c>
      <c r="C15" t="str">
        <f t="shared" si="0"/>
        <v>email nvarchar(100),</v>
      </c>
    </row>
    <row r="16" spans="1:3" x14ac:dyDescent="0.3">
      <c r="A16" t="s">
        <v>10</v>
      </c>
      <c r="B16" t="s">
        <v>126</v>
      </c>
      <c r="C16" t="str">
        <f t="shared" si="0"/>
        <v>phone nvarchar(50),</v>
      </c>
    </row>
    <row r="17" spans="1:3" x14ac:dyDescent="0.3">
      <c r="A17" t="s">
        <v>12</v>
      </c>
      <c r="B17" t="s">
        <v>128</v>
      </c>
      <c r="C17" t="str">
        <f t="shared" si="0"/>
        <v>created_at date,</v>
      </c>
    </row>
    <row r="18" spans="1:3" x14ac:dyDescent="0.3">
      <c r="A18" t="s">
        <v>14</v>
      </c>
      <c r="B18" t="s">
        <v>125</v>
      </c>
      <c r="C18" t="str">
        <f t="shared" si="0"/>
        <v>status int,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26BA-EA57-4D96-97A6-F3255BF03000}">
  <dimension ref="A1:C19"/>
  <sheetViews>
    <sheetView workbookViewId="0">
      <selection activeCell="C12" sqref="C12"/>
    </sheetView>
  </sheetViews>
  <sheetFormatPr defaultRowHeight="14.4" x14ac:dyDescent="0.3"/>
  <cols>
    <col min="1" max="1" width="17.44140625" customWidth="1"/>
    <col min="2" max="2" width="32.55468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s="4" t="s">
        <v>16</v>
      </c>
      <c r="B2" s="4" t="s">
        <v>17</v>
      </c>
    </row>
    <row r="3" spans="1:3" x14ac:dyDescent="0.3">
      <c r="A3" s="4" t="s">
        <v>18</v>
      </c>
      <c r="B3" s="4" t="s">
        <v>19</v>
      </c>
    </row>
    <row r="4" spans="1:3" x14ac:dyDescent="0.3">
      <c r="A4" s="4" t="s">
        <v>20</v>
      </c>
      <c r="B4" s="4" t="s">
        <v>21</v>
      </c>
    </row>
    <row r="5" spans="1:3" x14ac:dyDescent="0.3">
      <c r="A5" s="4" t="s">
        <v>22</v>
      </c>
      <c r="B5" s="4" t="s">
        <v>23</v>
      </c>
    </row>
    <row r="6" spans="1:3" x14ac:dyDescent="0.3">
      <c r="A6" s="4" t="s">
        <v>24</v>
      </c>
      <c r="B6" s="4" t="s">
        <v>25</v>
      </c>
    </row>
    <row r="7" spans="1:3" x14ac:dyDescent="0.3">
      <c r="A7" s="4" t="s">
        <v>26</v>
      </c>
      <c r="B7" s="4" t="s">
        <v>27</v>
      </c>
    </row>
    <row r="8" spans="1:3" x14ac:dyDescent="0.3">
      <c r="A8" s="4" t="s">
        <v>28</v>
      </c>
      <c r="B8" s="4" t="s">
        <v>29</v>
      </c>
    </row>
    <row r="9" spans="1:3" x14ac:dyDescent="0.3">
      <c r="A9" s="3"/>
      <c r="B9" s="3"/>
    </row>
    <row r="11" spans="1:3" x14ac:dyDescent="0.3">
      <c r="A11" s="3"/>
    </row>
    <row r="12" spans="1:3" x14ac:dyDescent="0.3">
      <c r="C12" t="s">
        <v>147</v>
      </c>
    </row>
    <row r="13" spans="1:3" x14ac:dyDescent="0.3">
      <c r="A13" s="4" t="s">
        <v>113</v>
      </c>
      <c r="B13" t="s">
        <v>125</v>
      </c>
      <c r="C13" t="str">
        <f>A13&amp;" "&amp;B13&amp;","</f>
        <v>addressID int,</v>
      </c>
    </row>
    <row r="14" spans="1:3" x14ac:dyDescent="0.3">
      <c r="A14" s="4" t="s">
        <v>112</v>
      </c>
      <c r="B14" t="s">
        <v>125</v>
      </c>
      <c r="C14" t="str">
        <f t="shared" ref="C14:C18" si="0">A14&amp;" "&amp;B14&amp;","</f>
        <v>customerID int,</v>
      </c>
    </row>
    <row r="15" spans="1:3" x14ac:dyDescent="0.3">
      <c r="A15" s="4" t="s">
        <v>26</v>
      </c>
      <c r="B15" t="s">
        <v>146</v>
      </c>
      <c r="C15" t="str">
        <f t="shared" si="0"/>
        <v>country nvarchar(30),</v>
      </c>
    </row>
    <row r="16" spans="1:3" x14ac:dyDescent="0.3">
      <c r="A16" s="4" t="s">
        <v>22</v>
      </c>
      <c r="B16" t="s">
        <v>146</v>
      </c>
      <c r="C16" t="str">
        <f t="shared" si="0"/>
        <v>city nvarchar(30),</v>
      </c>
    </row>
    <row r="17" spans="1:3" x14ac:dyDescent="0.3">
      <c r="A17" s="4" t="s">
        <v>24</v>
      </c>
      <c r="B17" t="s">
        <v>126</v>
      </c>
      <c r="C17" t="str">
        <f t="shared" si="0"/>
        <v>postal_code nvarchar(50),</v>
      </c>
    </row>
    <row r="18" spans="1:3" x14ac:dyDescent="0.3">
      <c r="A18" s="4" t="s">
        <v>20</v>
      </c>
      <c r="B18" t="s">
        <v>138</v>
      </c>
      <c r="C18" t="str">
        <f t="shared" si="0"/>
        <v>street nvarchar(100),</v>
      </c>
    </row>
    <row r="19" spans="1:3" x14ac:dyDescent="0.3">
      <c r="A1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4259-4CC6-49E9-9198-3415E7818578}">
  <dimension ref="A1:D20"/>
  <sheetViews>
    <sheetView workbookViewId="0">
      <selection activeCell="C13" sqref="C13"/>
    </sheetView>
  </sheetViews>
  <sheetFormatPr defaultRowHeight="14.4" x14ac:dyDescent="0.3"/>
  <cols>
    <col min="1" max="1" width="22.6640625" customWidth="1"/>
    <col min="2" max="2" width="23.6640625" customWidth="1"/>
  </cols>
  <sheetData>
    <row r="1" spans="1:4" x14ac:dyDescent="0.3">
      <c r="A1" s="3" t="s">
        <v>0</v>
      </c>
      <c r="B1" s="3" t="s">
        <v>1</v>
      </c>
    </row>
    <row r="2" spans="1:4" x14ac:dyDescent="0.3">
      <c r="A2" t="s">
        <v>30</v>
      </c>
      <c r="B2" t="s">
        <v>31</v>
      </c>
    </row>
    <row r="3" spans="1:4" x14ac:dyDescent="0.3">
      <c r="A3" t="s">
        <v>32</v>
      </c>
      <c r="B3" t="s">
        <v>33</v>
      </c>
    </row>
    <row r="4" spans="1:4" x14ac:dyDescent="0.3">
      <c r="A4" t="s">
        <v>34</v>
      </c>
      <c r="B4" t="s">
        <v>35</v>
      </c>
    </row>
    <row r="5" spans="1:4" x14ac:dyDescent="0.3">
      <c r="A5" t="s">
        <v>36</v>
      </c>
      <c r="B5" t="s">
        <v>37</v>
      </c>
    </row>
    <row r="6" spans="1:4" x14ac:dyDescent="0.3">
      <c r="A6" t="s">
        <v>38</v>
      </c>
      <c r="B6" t="s">
        <v>39</v>
      </c>
    </row>
    <row r="7" spans="1:4" x14ac:dyDescent="0.3">
      <c r="A7" t="s">
        <v>40</v>
      </c>
      <c r="B7" t="s">
        <v>41</v>
      </c>
    </row>
    <row r="8" spans="1:4" x14ac:dyDescent="0.3">
      <c r="A8" t="s">
        <v>12</v>
      </c>
      <c r="B8" t="s">
        <v>42</v>
      </c>
    </row>
    <row r="9" spans="1:4" x14ac:dyDescent="0.3">
      <c r="A9" t="s">
        <v>43</v>
      </c>
      <c r="B9" t="s">
        <v>44</v>
      </c>
      <c r="C9">
        <v>1</v>
      </c>
      <c r="D9" t="s">
        <v>143</v>
      </c>
    </row>
    <row r="10" spans="1:4" x14ac:dyDescent="0.3">
      <c r="C10">
        <v>0</v>
      </c>
      <c r="D10" t="s">
        <v>144</v>
      </c>
    </row>
    <row r="12" spans="1:4" x14ac:dyDescent="0.3">
      <c r="C12" t="s">
        <v>145</v>
      </c>
    </row>
    <row r="13" spans="1:4" x14ac:dyDescent="0.3">
      <c r="A13" t="s">
        <v>114</v>
      </c>
      <c r="B13" t="s">
        <v>125</v>
      </c>
      <c r="C13" t="str">
        <f>A13&amp;" "&amp;B13&amp;","</f>
        <v>productID int,</v>
      </c>
    </row>
    <row r="14" spans="1:4" x14ac:dyDescent="0.3">
      <c r="A14" t="s">
        <v>115</v>
      </c>
      <c r="B14" t="s">
        <v>125</v>
      </c>
      <c r="C14" t="str">
        <f t="shared" ref="C14:C20" si="0">A14&amp;" "&amp;B14&amp;","</f>
        <v>categoryID int,</v>
      </c>
    </row>
    <row r="15" spans="1:4" x14ac:dyDescent="0.3">
      <c r="A15" t="s">
        <v>32</v>
      </c>
      <c r="B15" t="s">
        <v>142</v>
      </c>
      <c r="C15" t="str">
        <f t="shared" si="0"/>
        <v>product_name varchar(100),</v>
      </c>
    </row>
    <row r="16" spans="1:4" x14ac:dyDescent="0.3">
      <c r="A16" t="s">
        <v>36</v>
      </c>
      <c r="B16" t="s">
        <v>134</v>
      </c>
      <c r="C16" t="str">
        <f t="shared" si="0"/>
        <v>brand varchar(50),</v>
      </c>
    </row>
    <row r="17" spans="1:3" x14ac:dyDescent="0.3">
      <c r="A17" t="s">
        <v>38</v>
      </c>
      <c r="B17" t="s">
        <v>131</v>
      </c>
      <c r="C17" t="str">
        <f t="shared" si="0"/>
        <v>base_price float,</v>
      </c>
    </row>
    <row r="18" spans="1:3" x14ac:dyDescent="0.3">
      <c r="A18" t="s">
        <v>40</v>
      </c>
      <c r="B18" t="s">
        <v>138</v>
      </c>
      <c r="C18" t="str">
        <f t="shared" si="0"/>
        <v>description nvarchar(100),</v>
      </c>
    </row>
    <row r="19" spans="1:3" x14ac:dyDescent="0.3">
      <c r="A19" t="s">
        <v>12</v>
      </c>
      <c r="B19" t="s">
        <v>128</v>
      </c>
      <c r="C19" t="str">
        <f t="shared" si="0"/>
        <v>created_at date,</v>
      </c>
    </row>
    <row r="20" spans="1:3" x14ac:dyDescent="0.3">
      <c r="A20" t="s">
        <v>116</v>
      </c>
      <c r="B20" t="s">
        <v>125</v>
      </c>
      <c r="C20" t="str">
        <f t="shared" si="0"/>
        <v>is_available int,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8E19-5876-437E-8428-C593F3298130}">
  <dimension ref="A1:C11"/>
  <sheetViews>
    <sheetView workbookViewId="0">
      <selection activeCell="C9" sqref="C9"/>
    </sheetView>
  </sheetViews>
  <sheetFormatPr defaultRowHeight="14.4" x14ac:dyDescent="0.3"/>
  <cols>
    <col min="1" max="1" width="23.6640625" customWidth="1"/>
    <col min="2" max="2" width="31.88671875" customWidth="1"/>
    <col min="3" max="3" width="37.55468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45</v>
      </c>
      <c r="B2" t="s">
        <v>46</v>
      </c>
    </row>
    <row r="3" spans="1:3" x14ac:dyDescent="0.3">
      <c r="A3" t="s">
        <v>47</v>
      </c>
      <c r="B3" t="s">
        <v>48</v>
      </c>
    </row>
    <row r="4" spans="1:3" x14ac:dyDescent="0.3">
      <c r="A4" t="s">
        <v>49</v>
      </c>
      <c r="B4" t="s">
        <v>50</v>
      </c>
    </row>
    <row r="8" spans="1:3" x14ac:dyDescent="0.3">
      <c r="C8" t="s">
        <v>139</v>
      </c>
    </row>
    <row r="9" spans="1:3" x14ac:dyDescent="0.3">
      <c r="A9" t="s">
        <v>115</v>
      </c>
      <c r="B9" t="s">
        <v>125</v>
      </c>
      <c r="C9" t="str">
        <f>A9&amp;" "&amp;B9&amp;","</f>
        <v>categoryID int,</v>
      </c>
    </row>
    <row r="10" spans="1:3" x14ac:dyDescent="0.3">
      <c r="A10" t="s">
        <v>47</v>
      </c>
      <c r="B10" t="s">
        <v>138</v>
      </c>
      <c r="C10" t="str">
        <f t="shared" ref="C10:C11" si="0">A10&amp;" "&amp;B10&amp;","</f>
        <v>category_name nvarchar(100),</v>
      </c>
    </row>
    <row r="11" spans="1:3" x14ac:dyDescent="0.3">
      <c r="A11" t="s">
        <v>49</v>
      </c>
      <c r="B11" t="s">
        <v>125</v>
      </c>
      <c r="C11" t="str">
        <f t="shared" si="0"/>
        <v>parent_category_id int,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9A44-CD57-43FD-A46F-927B0FEAFAEB}">
  <dimension ref="A1:C13"/>
  <sheetViews>
    <sheetView workbookViewId="0">
      <selection activeCell="C9" sqref="C9"/>
    </sheetView>
  </sheetViews>
  <sheetFormatPr defaultRowHeight="14.4" x14ac:dyDescent="0.3"/>
  <cols>
    <col min="1" max="1" width="18.6640625" customWidth="1"/>
    <col min="2" max="2" width="27.777343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51</v>
      </c>
      <c r="B2" t="s">
        <v>52</v>
      </c>
    </row>
    <row r="3" spans="1:3" x14ac:dyDescent="0.3">
      <c r="A3" t="s">
        <v>53</v>
      </c>
      <c r="B3" t="s">
        <v>54</v>
      </c>
    </row>
    <row r="4" spans="1:3" x14ac:dyDescent="0.3">
      <c r="A4" t="s">
        <v>55</v>
      </c>
      <c r="B4" t="s">
        <v>56</v>
      </c>
    </row>
    <row r="5" spans="1:3" x14ac:dyDescent="0.3">
      <c r="A5" t="s">
        <v>57</v>
      </c>
      <c r="B5" t="s">
        <v>58</v>
      </c>
    </row>
    <row r="9" spans="1:3" x14ac:dyDescent="0.3">
      <c r="C9" t="s">
        <v>141</v>
      </c>
    </row>
    <row r="10" spans="1:3" x14ac:dyDescent="0.3">
      <c r="A10" t="s">
        <v>117</v>
      </c>
      <c r="B10" t="s">
        <v>125</v>
      </c>
      <c r="C10" t="str">
        <f>A10&amp;" "&amp;B10&amp;","</f>
        <v>specID int,</v>
      </c>
    </row>
    <row r="11" spans="1:3" x14ac:dyDescent="0.3">
      <c r="A11" t="s">
        <v>114</v>
      </c>
      <c r="B11" t="s">
        <v>125</v>
      </c>
      <c r="C11" t="str">
        <f t="shared" ref="C11:C13" si="0">A11&amp;" "&amp;B11&amp;","</f>
        <v>productID int,</v>
      </c>
    </row>
    <row r="12" spans="1:3" x14ac:dyDescent="0.3">
      <c r="A12" t="s">
        <v>55</v>
      </c>
      <c r="B12" t="s">
        <v>140</v>
      </c>
      <c r="C12" t="str">
        <f t="shared" si="0"/>
        <v>spec_name nvarchar(500),</v>
      </c>
    </row>
    <row r="13" spans="1:3" x14ac:dyDescent="0.3">
      <c r="A13" t="s">
        <v>57</v>
      </c>
      <c r="B13" t="s">
        <v>140</v>
      </c>
      <c r="C13" t="str">
        <f t="shared" si="0"/>
        <v>spec_value nvarchar(500),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4086-2DA4-4CC9-8E9A-AB570CD8F408}">
  <dimension ref="A1:C13"/>
  <sheetViews>
    <sheetView workbookViewId="0">
      <selection activeCell="C10" sqref="C10"/>
    </sheetView>
  </sheetViews>
  <sheetFormatPr defaultRowHeight="14.4" x14ac:dyDescent="0.3"/>
  <cols>
    <col min="1" max="1" width="22.33203125" customWidth="1"/>
    <col min="2" max="2" width="17.44140625" customWidth="1"/>
    <col min="3" max="3" width="31.1093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59</v>
      </c>
      <c r="B2" t="s">
        <v>60</v>
      </c>
    </row>
    <row r="3" spans="1:3" x14ac:dyDescent="0.3">
      <c r="A3" t="s">
        <v>61</v>
      </c>
      <c r="B3" t="s">
        <v>62</v>
      </c>
    </row>
    <row r="4" spans="1:3" x14ac:dyDescent="0.3">
      <c r="A4" t="s">
        <v>63</v>
      </c>
      <c r="B4" t="s">
        <v>64</v>
      </c>
    </row>
    <row r="9" spans="1:3" x14ac:dyDescent="0.3">
      <c r="C9" t="s">
        <v>127</v>
      </c>
    </row>
    <row r="10" spans="1:3" x14ac:dyDescent="0.3">
      <c r="A10" t="s">
        <v>118</v>
      </c>
      <c r="B10" t="s">
        <v>125</v>
      </c>
      <c r="C10" t="str">
        <f>A10&amp;" "&amp;B10&amp;","</f>
        <v>warehouseID int,</v>
      </c>
    </row>
    <row r="11" spans="1:3" x14ac:dyDescent="0.3">
      <c r="A11" t="s">
        <v>61</v>
      </c>
      <c r="B11" t="s">
        <v>126</v>
      </c>
      <c r="C11" t="str">
        <f t="shared" ref="C11:C12" si="0">A11&amp;" "&amp;B11&amp;","</f>
        <v>warehouse_name nvarchar(50),</v>
      </c>
    </row>
    <row r="12" spans="1:3" x14ac:dyDescent="0.3">
      <c r="A12" t="s">
        <v>26</v>
      </c>
      <c r="B12" t="s">
        <v>126</v>
      </c>
      <c r="C12" t="str">
        <f>A12&amp;" "&amp;B12&amp;","</f>
        <v>country nvarchar(50),</v>
      </c>
    </row>
    <row r="13" spans="1:3" x14ac:dyDescent="0.3">
      <c r="A13" t="s">
        <v>22</v>
      </c>
      <c r="B13" t="s">
        <v>126</v>
      </c>
      <c r="C13" t="str">
        <f>A13&amp;" "&amp;B13&amp;","</f>
        <v>city nvarchar(50),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7211-056F-46E3-9488-822D76D60FDD}">
  <dimension ref="A1:C15"/>
  <sheetViews>
    <sheetView workbookViewId="0">
      <selection activeCell="C15" sqref="C15"/>
    </sheetView>
  </sheetViews>
  <sheetFormatPr defaultRowHeight="14.4" x14ac:dyDescent="0.3"/>
  <cols>
    <col min="1" max="1" width="16.77734375" customWidth="1"/>
    <col min="2" max="2" width="26.3320312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65</v>
      </c>
      <c r="B2" t="s">
        <v>66</v>
      </c>
    </row>
    <row r="3" spans="1:3" x14ac:dyDescent="0.3">
      <c r="A3" t="s">
        <v>53</v>
      </c>
      <c r="B3" t="s">
        <v>54</v>
      </c>
    </row>
    <row r="4" spans="1:3" x14ac:dyDescent="0.3">
      <c r="A4" t="s">
        <v>67</v>
      </c>
      <c r="B4" t="s">
        <v>60</v>
      </c>
    </row>
    <row r="5" spans="1:3" x14ac:dyDescent="0.3">
      <c r="A5" t="s">
        <v>68</v>
      </c>
      <c r="B5" t="s">
        <v>69</v>
      </c>
    </row>
    <row r="6" spans="1:3" x14ac:dyDescent="0.3">
      <c r="A6" t="s">
        <v>70</v>
      </c>
      <c r="B6" t="s">
        <v>71</v>
      </c>
    </row>
    <row r="10" spans="1:3" x14ac:dyDescent="0.3">
      <c r="C10" t="s">
        <v>129</v>
      </c>
    </row>
    <row r="11" spans="1:3" x14ac:dyDescent="0.3">
      <c r="A11" t="s">
        <v>119</v>
      </c>
      <c r="B11" t="s">
        <v>125</v>
      </c>
      <c r="C11" t="str">
        <f>A11&amp;" "&amp;B11&amp;","</f>
        <v>inventoryID int,</v>
      </c>
    </row>
    <row r="12" spans="1:3" x14ac:dyDescent="0.3">
      <c r="A12" t="s">
        <v>114</v>
      </c>
      <c r="B12" t="s">
        <v>125</v>
      </c>
      <c r="C12" t="str">
        <f t="shared" ref="C12:C15" si="0">A12&amp;" "&amp;B12&amp;","</f>
        <v>productID int,</v>
      </c>
    </row>
    <row r="13" spans="1:3" x14ac:dyDescent="0.3">
      <c r="A13" t="s">
        <v>118</v>
      </c>
      <c r="B13" t="s">
        <v>125</v>
      </c>
      <c r="C13" t="str">
        <f t="shared" si="0"/>
        <v>warehouseID int,</v>
      </c>
    </row>
    <row r="14" spans="1:3" x14ac:dyDescent="0.3">
      <c r="A14" t="s">
        <v>68</v>
      </c>
      <c r="B14" t="s">
        <v>125</v>
      </c>
      <c r="C14" t="str">
        <f t="shared" si="0"/>
        <v>quantity int,</v>
      </c>
    </row>
    <row r="15" spans="1:3" x14ac:dyDescent="0.3">
      <c r="A15" t="s">
        <v>70</v>
      </c>
      <c r="B15" t="s">
        <v>128</v>
      </c>
      <c r="C15" t="str">
        <f t="shared" si="0"/>
        <v>last_updated date,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5B41-3F26-4F31-AA4B-23A14EC33EFA}">
  <dimension ref="A1:C15"/>
  <sheetViews>
    <sheetView workbookViewId="0">
      <selection activeCell="C11" sqref="C11"/>
    </sheetView>
  </sheetViews>
  <sheetFormatPr defaultRowHeight="14.4" x14ac:dyDescent="0.3"/>
  <cols>
    <col min="1" max="1" width="19.88671875" customWidth="1"/>
    <col min="2" max="2" width="23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72</v>
      </c>
      <c r="B2" t="s">
        <v>73</v>
      </c>
    </row>
    <row r="3" spans="1:3" x14ac:dyDescent="0.3">
      <c r="A3" t="s">
        <v>18</v>
      </c>
      <c r="B3" t="s">
        <v>74</v>
      </c>
    </row>
    <row r="4" spans="1:3" x14ac:dyDescent="0.3">
      <c r="A4" t="s">
        <v>75</v>
      </c>
      <c r="B4" t="s">
        <v>76</v>
      </c>
    </row>
    <row r="5" spans="1:3" x14ac:dyDescent="0.3">
      <c r="A5" t="s">
        <v>14</v>
      </c>
      <c r="B5" t="s">
        <v>77</v>
      </c>
    </row>
    <row r="6" spans="1:3" x14ac:dyDescent="0.3">
      <c r="A6" t="s">
        <v>78</v>
      </c>
      <c r="B6" t="s">
        <v>79</v>
      </c>
    </row>
    <row r="10" spans="1:3" x14ac:dyDescent="0.3">
      <c r="C10" t="s">
        <v>132</v>
      </c>
    </row>
    <row r="11" spans="1:3" x14ac:dyDescent="0.3">
      <c r="A11" t="s">
        <v>120</v>
      </c>
      <c r="B11" t="s">
        <v>125</v>
      </c>
      <c r="C11" t="str">
        <f t="shared" ref="C11:C14" si="0">A11&amp;" "&amp;B11&amp;","</f>
        <v>orderID int,</v>
      </c>
    </row>
    <row r="12" spans="1:3" x14ac:dyDescent="0.3">
      <c r="A12" t="s">
        <v>112</v>
      </c>
      <c r="B12" t="s">
        <v>125</v>
      </c>
      <c r="C12" t="str">
        <f t="shared" si="0"/>
        <v>customerID int,</v>
      </c>
    </row>
    <row r="13" spans="1:3" x14ac:dyDescent="0.3">
      <c r="A13" t="s">
        <v>75</v>
      </c>
      <c r="B13" t="s">
        <v>128</v>
      </c>
      <c r="C13" t="str">
        <f t="shared" si="0"/>
        <v>order_date date,</v>
      </c>
    </row>
    <row r="14" spans="1:3" x14ac:dyDescent="0.3">
      <c r="A14" t="s">
        <v>14</v>
      </c>
      <c r="B14" t="s">
        <v>130</v>
      </c>
      <c r="C14" t="str">
        <f t="shared" si="0"/>
        <v>status varchar(10),</v>
      </c>
    </row>
    <row r="15" spans="1:3" x14ac:dyDescent="0.3">
      <c r="A15" t="s">
        <v>78</v>
      </c>
      <c r="B15" t="s">
        <v>125</v>
      </c>
      <c r="C15" t="str">
        <f t="shared" ref="C15" si="1">A15&amp;" "&amp;B15&amp;","</f>
        <v>total_amount int,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8D8B-D88B-427F-B07B-31D83155DBC0}">
  <dimension ref="A1:C15"/>
  <sheetViews>
    <sheetView workbookViewId="0">
      <selection activeCell="C11" sqref="C11"/>
    </sheetView>
  </sheetViews>
  <sheetFormatPr defaultRowHeight="14.4" x14ac:dyDescent="0.3"/>
  <cols>
    <col min="1" max="1" width="24.44140625" customWidth="1"/>
    <col min="2" max="2" width="16.777343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80</v>
      </c>
      <c r="B2" t="s">
        <v>81</v>
      </c>
    </row>
    <row r="3" spans="1:3" x14ac:dyDescent="0.3">
      <c r="A3" t="s">
        <v>82</v>
      </c>
      <c r="B3" t="s">
        <v>73</v>
      </c>
    </row>
    <row r="4" spans="1:3" x14ac:dyDescent="0.3">
      <c r="A4" t="s">
        <v>53</v>
      </c>
      <c r="B4" t="s">
        <v>54</v>
      </c>
    </row>
    <row r="5" spans="1:3" x14ac:dyDescent="0.3">
      <c r="A5" t="s">
        <v>68</v>
      </c>
      <c r="B5" t="s">
        <v>83</v>
      </c>
    </row>
    <row r="6" spans="1:3" x14ac:dyDescent="0.3">
      <c r="A6" t="s">
        <v>84</v>
      </c>
      <c r="B6" t="s">
        <v>85</v>
      </c>
    </row>
    <row r="10" spans="1:3" x14ac:dyDescent="0.3">
      <c r="C10" t="s">
        <v>133</v>
      </c>
    </row>
    <row r="11" spans="1:3" x14ac:dyDescent="0.3">
      <c r="A11" t="s">
        <v>121</v>
      </c>
      <c r="B11" t="s">
        <v>125</v>
      </c>
      <c r="C11" t="str">
        <f t="shared" ref="C11:C15" si="0">A11&amp;" "&amp;B11&amp;","</f>
        <v>orderItemID int,</v>
      </c>
    </row>
    <row r="12" spans="1:3" x14ac:dyDescent="0.3">
      <c r="A12" t="s">
        <v>120</v>
      </c>
      <c r="B12" t="s">
        <v>125</v>
      </c>
      <c r="C12" t="str">
        <f t="shared" si="0"/>
        <v>orderID int,</v>
      </c>
    </row>
    <row r="13" spans="1:3" x14ac:dyDescent="0.3">
      <c r="A13" t="s">
        <v>114</v>
      </c>
      <c r="B13" t="s">
        <v>125</v>
      </c>
      <c r="C13" t="str">
        <f t="shared" si="0"/>
        <v>productID int,</v>
      </c>
    </row>
    <row r="14" spans="1:3" x14ac:dyDescent="0.3">
      <c r="A14" t="s">
        <v>68</v>
      </c>
      <c r="B14" t="s">
        <v>125</v>
      </c>
      <c r="C14" t="str">
        <f t="shared" si="0"/>
        <v>quantity int,</v>
      </c>
    </row>
    <row r="15" spans="1:3" x14ac:dyDescent="0.3">
      <c r="A15" t="s">
        <v>84</v>
      </c>
      <c r="B15" t="s">
        <v>131</v>
      </c>
      <c r="C15" t="str">
        <f t="shared" si="0"/>
        <v>unit_price float,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5FE2-21F4-49D9-BAAE-DB24325DA139}">
  <dimension ref="A1:C16"/>
  <sheetViews>
    <sheetView workbookViewId="0">
      <selection activeCell="C11" sqref="C11"/>
    </sheetView>
  </sheetViews>
  <sheetFormatPr defaultRowHeight="14.4" x14ac:dyDescent="0.3"/>
  <cols>
    <col min="1" max="1" width="20.44140625" customWidth="1"/>
    <col min="2" max="2" width="24" customWidth="1"/>
    <col min="3" max="3" width="18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86</v>
      </c>
      <c r="B2" t="s">
        <v>87</v>
      </c>
    </row>
    <row r="3" spans="1:3" x14ac:dyDescent="0.3">
      <c r="A3" t="s">
        <v>82</v>
      </c>
      <c r="B3" t="s">
        <v>73</v>
      </c>
    </row>
    <row r="4" spans="1:3" x14ac:dyDescent="0.3">
      <c r="A4" t="s">
        <v>88</v>
      </c>
      <c r="B4" t="s">
        <v>89</v>
      </c>
    </row>
    <row r="5" spans="1:3" x14ac:dyDescent="0.3">
      <c r="A5" t="s">
        <v>90</v>
      </c>
      <c r="B5" t="s">
        <v>91</v>
      </c>
    </row>
    <row r="6" spans="1:3" x14ac:dyDescent="0.3">
      <c r="A6" t="s">
        <v>92</v>
      </c>
      <c r="B6" t="s">
        <v>93</v>
      </c>
    </row>
    <row r="7" spans="1:3" x14ac:dyDescent="0.3">
      <c r="A7" t="s">
        <v>94</v>
      </c>
      <c r="B7" t="s">
        <v>95</v>
      </c>
    </row>
    <row r="10" spans="1:3" x14ac:dyDescent="0.3">
      <c r="C10" t="s">
        <v>136</v>
      </c>
    </row>
    <row r="11" spans="1:3" x14ac:dyDescent="0.3">
      <c r="A11" t="s">
        <v>122</v>
      </c>
      <c r="B11" t="s">
        <v>125</v>
      </c>
      <c r="C11" t="str">
        <f t="shared" ref="C11:C16" si="0">A11&amp;" "&amp;B11&amp;","</f>
        <v>paymentID int,</v>
      </c>
    </row>
    <row r="12" spans="1:3" x14ac:dyDescent="0.3">
      <c r="A12" t="s">
        <v>120</v>
      </c>
      <c r="B12" t="s">
        <v>125</v>
      </c>
      <c r="C12" t="str">
        <f t="shared" si="0"/>
        <v>orderID int,</v>
      </c>
    </row>
    <row r="13" spans="1:3" x14ac:dyDescent="0.3">
      <c r="A13" t="s">
        <v>88</v>
      </c>
      <c r="B13" t="s">
        <v>128</v>
      </c>
      <c r="C13" t="str">
        <f t="shared" si="0"/>
        <v>payment_date date,</v>
      </c>
    </row>
    <row r="14" spans="1:3" x14ac:dyDescent="0.3">
      <c r="A14" t="s">
        <v>90</v>
      </c>
      <c r="B14" t="s">
        <v>135</v>
      </c>
      <c r="C14" t="str">
        <f t="shared" si="0"/>
        <v>payment_method varchar(30),</v>
      </c>
    </row>
    <row r="15" spans="1:3" x14ac:dyDescent="0.3">
      <c r="A15" t="s">
        <v>92</v>
      </c>
      <c r="B15" t="s">
        <v>135</v>
      </c>
      <c r="C15" t="str">
        <f t="shared" si="0"/>
        <v>payment_status varchar(30),</v>
      </c>
    </row>
    <row r="16" spans="1:3" x14ac:dyDescent="0.3">
      <c r="A16" t="s">
        <v>94</v>
      </c>
      <c r="B16" t="s">
        <v>131</v>
      </c>
      <c r="C16" t="str">
        <f t="shared" si="0"/>
        <v>amount float,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C652-7F12-413D-997A-725D72D4177E}">
  <dimension ref="A1:C15"/>
  <sheetViews>
    <sheetView workbookViewId="0">
      <selection activeCell="D22" sqref="D22"/>
    </sheetView>
  </sheetViews>
  <sheetFormatPr defaultRowHeight="14.4" x14ac:dyDescent="0.3"/>
  <cols>
    <col min="1" max="1" width="23.109375" customWidth="1"/>
    <col min="2" max="2" width="22.109375" customWidth="1"/>
  </cols>
  <sheetData>
    <row r="1" spans="1:3" x14ac:dyDescent="0.3">
      <c r="A1" s="3" t="s">
        <v>0</v>
      </c>
      <c r="B1" s="3" t="s">
        <v>1</v>
      </c>
    </row>
    <row r="2" spans="1:3" x14ac:dyDescent="0.3">
      <c r="A2" t="s">
        <v>96</v>
      </c>
      <c r="B2" t="s">
        <v>97</v>
      </c>
    </row>
    <row r="3" spans="1:3" x14ac:dyDescent="0.3">
      <c r="A3" t="s">
        <v>82</v>
      </c>
      <c r="B3" t="s">
        <v>73</v>
      </c>
    </row>
    <row r="4" spans="1:3" x14ac:dyDescent="0.3">
      <c r="A4" t="s">
        <v>98</v>
      </c>
      <c r="B4" t="s">
        <v>89</v>
      </c>
    </row>
    <row r="5" spans="1:3" x14ac:dyDescent="0.3">
      <c r="A5" t="s">
        <v>99</v>
      </c>
      <c r="B5" t="s">
        <v>100</v>
      </c>
    </row>
    <row r="6" spans="1:3" x14ac:dyDescent="0.3">
      <c r="A6" t="s">
        <v>78</v>
      </c>
      <c r="B6" t="s">
        <v>101</v>
      </c>
    </row>
    <row r="10" spans="1:3" x14ac:dyDescent="0.3">
      <c r="C10" t="s">
        <v>137</v>
      </c>
    </row>
    <row r="11" spans="1:3" x14ac:dyDescent="0.3">
      <c r="A11" t="s">
        <v>123</v>
      </c>
      <c r="B11" t="s">
        <v>125</v>
      </c>
      <c r="C11" t="str">
        <f t="shared" ref="C11:C15" si="0">A11&amp;" "&amp;B11&amp;","</f>
        <v>invoiceID int,</v>
      </c>
    </row>
    <row r="12" spans="1:3" x14ac:dyDescent="0.3">
      <c r="A12" t="s">
        <v>120</v>
      </c>
      <c r="B12" t="s">
        <v>125</v>
      </c>
      <c r="C12" t="str">
        <f t="shared" si="0"/>
        <v>orderID int,</v>
      </c>
    </row>
    <row r="13" spans="1:3" x14ac:dyDescent="0.3">
      <c r="A13" t="s">
        <v>98</v>
      </c>
      <c r="B13" t="s">
        <v>128</v>
      </c>
      <c r="C13" t="str">
        <f t="shared" si="0"/>
        <v>invoice_date date,</v>
      </c>
    </row>
    <row r="14" spans="1:3" x14ac:dyDescent="0.3">
      <c r="A14" t="s">
        <v>99</v>
      </c>
      <c r="B14" t="s">
        <v>128</v>
      </c>
      <c r="C14" t="str">
        <f t="shared" si="0"/>
        <v>due_date date,</v>
      </c>
    </row>
    <row r="15" spans="1:3" x14ac:dyDescent="0.3">
      <c r="A15" t="s">
        <v>78</v>
      </c>
      <c r="B15" t="s">
        <v>131</v>
      </c>
      <c r="C15" t="str">
        <f t="shared" si="0"/>
        <v>total_amount float,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77CF-BF0D-4EE8-8A27-0083D4899D6B}">
  <dimension ref="A1:B17"/>
  <sheetViews>
    <sheetView workbookViewId="0">
      <selection activeCell="B14" sqref="B14"/>
    </sheetView>
  </sheetViews>
  <sheetFormatPr defaultRowHeight="14.4" x14ac:dyDescent="0.3"/>
  <cols>
    <col min="1" max="1" width="25.5546875" customWidth="1"/>
    <col min="2" max="2" width="2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111</v>
      </c>
      <c r="B2" t="s">
        <v>102</v>
      </c>
    </row>
    <row r="3" spans="1:2" x14ac:dyDescent="0.3">
      <c r="A3" t="s">
        <v>82</v>
      </c>
      <c r="B3" t="s">
        <v>73</v>
      </c>
    </row>
    <row r="4" spans="1:2" x14ac:dyDescent="0.3">
      <c r="A4" t="s">
        <v>103</v>
      </c>
      <c r="B4" t="s">
        <v>104</v>
      </c>
    </row>
    <row r="5" spans="1:2" x14ac:dyDescent="0.3">
      <c r="A5" t="s">
        <v>105</v>
      </c>
      <c r="B5" t="s">
        <v>106</v>
      </c>
    </row>
    <row r="6" spans="1:2" x14ac:dyDescent="0.3">
      <c r="A6" t="s">
        <v>107</v>
      </c>
      <c r="B6" t="s">
        <v>108</v>
      </c>
    </row>
    <row r="7" spans="1:2" x14ac:dyDescent="0.3">
      <c r="A7" t="s">
        <v>109</v>
      </c>
      <c r="B7" t="s">
        <v>110</v>
      </c>
    </row>
    <row r="12" spans="1:2" x14ac:dyDescent="0.3">
      <c r="A12" t="s">
        <v>124</v>
      </c>
    </row>
    <row r="13" spans="1:2" x14ac:dyDescent="0.3">
      <c r="A13" t="s">
        <v>120</v>
      </c>
    </row>
    <row r="14" spans="1:2" x14ac:dyDescent="0.3">
      <c r="A14" t="s">
        <v>103</v>
      </c>
    </row>
    <row r="15" spans="1:2" x14ac:dyDescent="0.3">
      <c r="A15" t="s">
        <v>105</v>
      </c>
    </row>
    <row r="16" spans="1:2" x14ac:dyDescent="0.3">
      <c r="A16" t="s">
        <v>107</v>
      </c>
    </row>
    <row r="17" spans="1:1" x14ac:dyDescent="0.3">
      <c r="A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Addresses</vt:lpstr>
      <vt:lpstr>Products</vt:lpstr>
      <vt:lpstr>Category</vt:lpstr>
      <vt:lpstr>Product_Specifications</vt:lpstr>
      <vt:lpstr>Warehouses</vt:lpstr>
      <vt:lpstr>Inventory</vt:lpstr>
      <vt:lpstr>orderHeader</vt:lpstr>
      <vt:lpstr>OrderDetail</vt:lpstr>
      <vt:lpstr>Payments</vt:lpstr>
      <vt:lpstr>Invoices</vt:lpstr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Faramarz Hojati</dc:creator>
  <cp:lastModifiedBy>Faramarz Hojati</cp:lastModifiedBy>
  <dcterms:created xsi:type="dcterms:W3CDTF">2015-06-05T18:17:20Z</dcterms:created>
  <dcterms:modified xsi:type="dcterms:W3CDTF">2026-01-18T18:15:38Z</dcterms:modified>
</cp:coreProperties>
</file>